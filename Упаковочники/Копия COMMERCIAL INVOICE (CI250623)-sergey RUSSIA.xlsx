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H:\АвтоКитай\Документы 2025 год\Сборное авто\Сборное авто 62 МНЧ\2318-2531736 ЧКЗ\Отгр 25.06\"/>
    </mc:Choice>
  </mc:AlternateContent>
  <xr:revisionPtr revIDLastSave="0" documentId="13_ncr:1_{F6F40B0C-0E61-4F2C-8F59-5DE5DC079BDC}" xr6:coauthVersionLast="47" xr6:coauthVersionMax="47" xr10:uidLastSave="{00000000-0000-0000-0000-000000000000}"/>
  <bookViews>
    <workbookView xWindow="390" yWindow="390" windowWidth="13785" windowHeight="15480" xr2:uid="{00000000-000D-0000-FFFF-FFFF00000000}"/>
  </bookViews>
  <sheets>
    <sheet name="Order List" sheetId="1" r:id="rId1"/>
    <sheet name="Sheet3" sheetId="3" r:id="rId2"/>
  </sheets>
  <definedNames>
    <definedName name="_xlnm.Print_Titles" localSheetId="0">'Order List'!$1:$9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10" i="1"/>
</calcChain>
</file>

<file path=xl/sharedStrings.xml><?xml version="1.0" encoding="utf-8"?>
<sst xmlns="http://schemas.openxmlformats.org/spreadsheetml/2006/main" count="19" uniqueCount="19">
  <si>
    <t>SHENZHEN WETAC TECHNOLOGY CO.,LTD</t>
  </si>
  <si>
    <t xml:space="preserve">ROOM 106, BLDG 22, XueHong industrial park, , Futian District, 518000 Shenzhen China </t>
  </si>
  <si>
    <t xml:space="preserve">Tel: 86-13530046228        Email: atlastrade@163.com / wetac@188.com  
</t>
  </si>
  <si>
    <t>PROFORMA INVOICE</t>
  </si>
  <si>
    <t>TO:</t>
  </si>
  <si>
    <t>Chelyabinsk Compressor Plant LLC</t>
  </si>
  <si>
    <t>C/I No.:</t>
  </si>
  <si>
    <t>CI250623</t>
  </si>
  <si>
    <t>Date:</t>
  </si>
  <si>
    <t xml:space="preserve">Terms of delivery:  EXW DongGuang	</t>
  </si>
  <si>
    <t xml:space="preserve">Item </t>
  </si>
  <si>
    <t>Description</t>
  </si>
  <si>
    <t>Quantity (kgs)</t>
  </si>
  <si>
    <t>Unit Price</t>
  </si>
  <si>
    <t>Amount</t>
  </si>
  <si>
    <t>desiccant</t>
  </si>
  <si>
    <t>Total</t>
  </si>
  <si>
    <t>FOC Delivery. Value for customs purposes only.</t>
  </si>
  <si>
    <t>14km of the highway Chelyabinsk-Novosibirsk, Krasnoarmeisky raion 456671, Chelyabinskaya oblast, Russia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</si>
</sst>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￥&quot;#,##0.00_);\(&quot;￥&quot;#,##0.00\)"/>
    <numFmt numFmtId="165" formatCode="0_ "/>
    <numFmt numFmtId="166" formatCode="&quot;￥&quot;#,##0_);\(&quot;￥&quot;#,##0\)"/>
    <numFmt numFmtId="167" formatCode="&quot;￥&quot;#,##0.00\ ;[Red]&quot;(￥&quot;#,##0.00\)"/>
    <numFmt numFmtId="168" formatCode="&quot;￥&quot;#,##0\ ;[Red]&quot;(￥&quot;#,##0\)"/>
  </numFmts>
  <fonts count="18">
    <font>
      <sz val="12"/>
      <name val="宋体"/>
      <charset val="134"/>
    </font>
    <font>
      <sz val="10"/>
      <name val="Calibri"/>
      <charset val="204"/>
    </font>
    <font>
      <b/>
      <sz val="12"/>
      <color indexed="8"/>
      <name val="Calibri"/>
      <charset val="204"/>
    </font>
    <font>
      <sz val="12"/>
      <name val="Calibri"/>
      <charset val="204"/>
    </font>
    <font>
      <sz val="16"/>
      <name val="Calibri"/>
      <charset val="134"/>
    </font>
    <font>
      <sz val="11"/>
      <name val="Arial"/>
      <charset val="134"/>
    </font>
    <font>
      <sz val="10"/>
      <name val="Calibri"/>
      <charset val="134"/>
    </font>
    <font>
      <sz val="11"/>
      <color theme="1"/>
      <name val="Calibri"/>
      <charset val="134"/>
      <scheme val="minor"/>
    </font>
    <font>
      <sz val="14"/>
      <color rgb="FF0000CC"/>
      <name val="Calibri"/>
      <charset val="204"/>
    </font>
    <font>
      <sz val="10"/>
      <name val="MS Sans Serif"/>
      <charset val="134"/>
    </font>
    <font>
      <sz val="11"/>
      <color indexed="8"/>
      <name val="宋体"/>
      <charset val="134"/>
    </font>
    <font>
      <u/>
      <sz val="12"/>
      <color indexed="12"/>
      <name val="宋体"/>
      <charset val="134"/>
    </font>
    <font>
      <u/>
      <sz val="12"/>
      <color theme="10"/>
      <name val="宋体"/>
      <charset val="134"/>
    </font>
    <font>
      <sz val="12"/>
      <name val="宋体"/>
      <charset val="134"/>
    </font>
    <font>
      <sz val="12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2"/>
      <color indexed="9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3"/>
        <bgColor indexed="59"/>
      </patternFill>
    </fill>
    <fill>
      <patternFill patternType="solid">
        <fgColor theme="0"/>
        <bgColor indexed="26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</borders>
  <cellStyleXfs count="25">
    <xf numFmtId="0" fontId="0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13" fillId="0" borderId="0"/>
    <xf numFmtId="0" fontId="13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/>
    <xf numFmtId="0" fontId="4" fillId="0" borderId="0" xfId="1" applyFont="1" applyFill="1" applyBorder="1" applyAlignment="1">
      <alignment vertical="center"/>
    </xf>
    <xf numFmtId="0" fontId="5" fillId="0" borderId="0" xfId="1" applyFont="1" applyFill="1" applyBorder="1" applyAlignment="1"/>
    <xf numFmtId="0" fontId="6" fillId="0" borderId="0" xfId="1" applyFont="1" applyFill="1" applyBorder="1" applyAlignmen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8" fillId="0" borderId="0" xfId="5" applyFont="1" applyFill="1" applyAlignment="1">
      <alignment horizontal="left"/>
    </xf>
    <xf numFmtId="0" fontId="1" fillId="0" borderId="0" xfId="0" applyFont="1" applyFill="1" applyBorder="1" applyAlignment="1">
      <alignment vertical="center"/>
    </xf>
    <xf numFmtId="0" fontId="14" fillId="0" borderId="0" xfId="0" applyFont="1" applyAlignment="1"/>
    <xf numFmtId="0" fontId="14" fillId="0" borderId="0" xfId="1" applyFont="1" applyFill="1" applyBorder="1" applyAlignment="1"/>
    <xf numFmtId="164" fontId="14" fillId="0" borderId="0" xfId="0" applyNumberFormat="1" applyFont="1" applyAlignment="1"/>
    <xf numFmtId="0" fontId="14" fillId="0" borderId="0" xfId="0" applyFont="1" applyAlignment="1">
      <alignment horizontal="left"/>
    </xf>
    <xf numFmtId="15" fontId="14" fillId="0" borderId="0" xfId="0" applyNumberFormat="1" applyFont="1" applyAlignment="1">
      <alignment horizontal="left"/>
    </xf>
    <xf numFmtId="0" fontId="14" fillId="0" borderId="0" xfId="1" applyFont="1" applyAlignment="1"/>
    <xf numFmtId="0" fontId="16" fillId="3" borderId="2" xfId="1" applyFont="1" applyFill="1" applyBorder="1" applyAlignment="1">
      <alignment horizontal="center" vertical="center" wrapText="1"/>
    </xf>
    <xf numFmtId="165" fontId="16" fillId="3" borderId="2" xfId="1" applyNumberFormat="1" applyFont="1" applyFill="1" applyBorder="1" applyAlignment="1">
      <alignment horizontal="center" vertical="center" wrapText="1"/>
    </xf>
    <xf numFmtId="166" fontId="15" fillId="0" borderId="3" xfId="1" applyNumberFormat="1" applyFont="1" applyFill="1" applyBorder="1" applyAlignment="1">
      <alignment horizontal="center" vertical="center" wrapText="1"/>
    </xf>
    <xf numFmtId="167" fontId="15" fillId="0" borderId="3" xfId="1" applyNumberFormat="1" applyFont="1" applyFill="1" applyBorder="1" applyAlignment="1">
      <alignment horizontal="center" vertical="center"/>
    </xf>
    <xf numFmtId="168" fontId="15" fillId="0" borderId="5" xfId="1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/>
    <xf numFmtId="0" fontId="16" fillId="3" borderId="2" xfId="1" applyFont="1" applyFill="1" applyBorder="1" applyAlignment="1">
      <alignment horizontal="center" vertical="center" shrinkToFit="1"/>
    </xf>
    <xf numFmtId="167" fontId="16" fillId="3" borderId="4" xfId="1" applyNumberFormat="1" applyFont="1" applyFill="1" applyBorder="1" applyAlignment="1">
      <alignment horizontal="center" vertical="center" wrapText="1"/>
    </xf>
    <xf numFmtId="0" fontId="14" fillId="0" borderId="0" xfId="1" applyFont="1" applyFill="1" applyBorder="1" applyAlignment="1">
      <alignment vertical="center"/>
    </xf>
    <xf numFmtId="0" fontId="14" fillId="4" borderId="3" xfId="1" applyFont="1" applyFill="1" applyBorder="1" applyAlignment="1">
      <alignment horizontal="center" vertical="center"/>
    </xf>
    <xf numFmtId="0" fontId="15" fillId="0" borderId="3" xfId="1" applyFont="1" applyFill="1" applyBorder="1" applyAlignment="1">
      <alignment horizontal="center" vertical="center" shrinkToFit="1"/>
    </xf>
    <xf numFmtId="0" fontId="17" fillId="0" borderId="3" xfId="0" applyFont="1" applyFill="1" applyBorder="1" applyAlignment="1">
      <alignment horizontal="center" vertical="center"/>
    </xf>
    <xf numFmtId="168" fontId="14" fillId="4" borderId="5" xfId="1" applyNumberFormat="1" applyFont="1" applyFill="1" applyBorder="1" applyAlignment="1">
      <alignment horizontal="center" vertical="center" wrapText="1"/>
    </xf>
    <xf numFmtId="0" fontId="15" fillId="0" borderId="3" xfId="1" applyFont="1" applyFill="1" applyBorder="1" applyAlignment="1">
      <alignment horizontal="center" vertical="center"/>
    </xf>
    <xf numFmtId="0" fontId="14" fillId="0" borderId="0" xfId="5" applyFont="1" applyAlignment="1"/>
    <xf numFmtId="0" fontId="17" fillId="0" borderId="0" xfId="0" applyFont="1" applyFill="1" applyAlignment="1">
      <alignment vertical="center"/>
    </xf>
    <xf numFmtId="164" fontId="17" fillId="0" borderId="0" xfId="0" applyNumberFormat="1" applyFont="1" applyFill="1" applyAlignment="1">
      <alignment vertical="center"/>
    </xf>
    <xf numFmtId="0" fontId="15" fillId="0" borderId="0" xfId="0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164" fontId="14" fillId="0" borderId="0" xfId="0" applyNumberFormat="1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</cellXfs>
  <cellStyles count="25">
    <cellStyle name="Excel Built-in Normal" xfId="1" xr:uid="{00000000-0005-0000-0000-000031000000}"/>
    <cellStyle name="Обычный" xfId="0" builtinId="0"/>
    <cellStyle name="一般_G-072 Quotation form" xfId="2" xr:uid="{00000000-0005-0000-0000-000032000000}"/>
    <cellStyle name="常规 2" xfId="3" xr:uid="{00000000-0005-0000-0000-000033000000}"/>
    <cellStyle name="常规 2 2" xfId="4" xr:uid="{00000000-0005-0000-0000-000034000000}"/>
    <cellStyle name="常规 3" xfId="5" xr:uid="{00000000-0005-0000-0000-000035000000}"/>
    <cellStyle name="常规 3 2" xfId="6" xr:uid="{00000000-0005-0000-0000-000036000000}"/>
    <cellStyle name="常规 3 3" xfId="7" xr:uid="{00000000-0005-0000-0000-000037000000}"/>
    <cellStyle name="常规 4" xfId="8" xr:uid="{00000000-0005-0000-0000-000038000000}"/>
    <cellStyle name="常规 4 2" xfId="9" xr:uid="{00000000-0005-0000-0000-000039000000}"/>
    <cellStyle name="常规 5" xfId="10" xr:uid="{00000000-0005-0000-0000-00003A000000}"/>
    <cellStyle name="常规 5 2" xfId="11" xr:uid="{00000000-0005-0000-0000-00003B000000}"/>
    <cellStyle name="常规 6" xfId="12" xr:uid="{00000000-0005-0000-0000-00003C000000}"/>
    <cellStyle name="常规 6 2" xfId="13" xr:uid="{00000000-0005-0000-0000-00003D000000}"/>
    <cellStyle name="常规 6 2 2" xfId="14" xr:uid="{00000000-0005-0000-0000-00003E000000}"/>
    <cellStyle name="常规 6 3" xfId="15" xr:uid="{00000000-0005-0000-0000-00003F000000}"/>
    <cellStyle name="常规 6 3 2" xfId="16" xr:uid="{00000000-0005-0000-0000-000040000000}"/>
    <cellStyle name="常规 6 4" xfId="17" xr:uid="{00000000-0005-0000-0000-000041000000}"/>
    <cellStyle name="常规 6 4 2" xfId="18" xr:uid="{00000000-0005-0000-0000-000042000000}"/>
    <cellStyle name="常规 6 5" xfId="19" xr:uid="{00000000-0005-0000-0000-000043000000}"/>
    <cellStyle name="常规 6 6" xfId="20" xr:uid="{00000000-0005-0000-0000-000044000000}"/>
    <cellStyle name="常规 7" xfId="21" xr:uid="{00000000-0005-0000-0000-000045000000}"/>
    <cellStyle name="常规_Sheet1" xfId="22" xr:uid="{00000000-0005-0000-0000-000046000000}"/>
    <cellStyle name="超链接 2" xfId="23" xr:uid="{00000000-0005-0000-0000-000047000000}"/>
    <cellStyle name="超链接 3" xfId="24" xr:uid="{00000000-0005-0000-0000-000048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1505585</xdr:colOff>
      <xdr:row>11</xdr:row>
      <xdr:rowOff>97155</xdr:rowOff>
    </xdr:from>
    <xdr:to>
      <xdr:col>4</xdr:col>
      <xdr:colOff>693420</xdr:colOff>
      <xdr:row>17</xdr:row>
      <xdr:rowOff>144145</xdr:rowOff>
    </xdr:to>
    <xdr:pic>
      <xdr:nvPicPr>
        <xdr:cNvPr id="2" name="图片 1" descr="0aae7f63c9b4bcb25cb51f8e915876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82235" y="3335655"/>
          <a:ext cx="2026285" cy="1447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"/>
  <sheetViews>
    <sheetView tabSelected="1" workbookViewId="0">
      <selection activeCell="B19" sqref="B19"/>
    </sheetView>
  </sheetViews>
  <sheetFormatPr defaultColWidth="9" defaultRowHeight="12.75"/>
  <cols>
    <col min="1" max="1" width="9.25" style="7" customWidth="1"/>
    <col min="2" max="2" width="39" style="7" customWidth="1"/>
    <col min="3" max="3" width="22.875" style="7" customWidth="1"/>
    <col min="4" max="4" width="14.375" style="7" customWidth="1"/>
    <col min="5" max="5" width="17.125" style="8" customWidth="1"/>
    <col min="6" max="6" width="13.875" style="9" customWidth="1"/>
    <col min="7" max="16384" width="9" style="7"/>
  </cols>
  <sheetData>
    <row r="1" spans="1:7" s="1" customFormat="1" ht="33" customHeight="1">
      <c r="A1" s="35" t="s">
        <v>0</v>
      </c>
      <c r="B1" s="35"/>
      <c r="C1" s="35"/>
      <c r="D1" s="35"/>
      <c r="E1" s="36"/>
      <c r="F1" s="35"/>
    </row>
    <row r="2" spans="1:7" s="2" customFormat="1" ht="19.5" customHeight="1">
      <c r="A2" s="37" t="s">
        <v>1</v>
      </c>
      <c r="B2" s="37"/>
      <c r="C2" s="37"/>
      <c r="D2" s="37"/>
      <c r="E2" s="38"/>
      <c r="F2" s="37"/>
    </row>
    <row r="3" spans="1:7" s="3" customFormat="1" ht="20.25" customHeight="1">
      <c r="A3" s="39" t="s">
        <v>2</v>
      </c>
      <c r="B3" s="39"/>
      <c r="C3" s="39"/>
      <c r="D3" s="39"/>
      <c r="E3" s="40"/>
      <c r="F3" s="39"/>
    </row>
    <row r="4" spans="1:7" s="3" customFormat="1" ht="28.5" customHeight="1">
      <c r="A4" s="12"/>
      <c r="B4" s="41" t="s">
        <v>3</v>
      </c>
      <c r="C4" s="41"/>
      <c r="D4" s="41"/>
      <c r="E4" s="42"/>
      <c r="F4" s="41"/>
    </row>
    <row r="5" spans="1:7" s="3" customFormat="1" ht="28.5" customHeight="1">
      <c r="A5" s="13" t="s">
        <v>4</v>
      </c>
      <c r="B5" s="23" t="s">
        <v>5</v>
      </c>
      <c r="C5" s="12"/>
      <c r="D5" s="14" t="s">
        <v>6</v>
      </c>
      <c r="E5" s="15" t="s">
        <v>7</v>
      </c>
      <c r="F5" s="12"/>
    </row>
    <row r="6" spans="1:7" s="3" customFormat="1" ht="20.25" customHeight="1">
      <c r="A6" s="12"/>
      <c r="B6" s="43" t="s">
        <v>18</v>
      </c>
      <c r="C6" s="12"/>
      <c r="D6" s="14" t="s">
        <v>8</v>
      </c>
      <c r="E6" s="16">
        <v>45831</v>
      </c>
      <c r="F6" s="12"/>
    </row>
    <row r="7" spans="1:7" s="3" customFormat="1" ht="20.25" customHeight="1">
      <c r="A7" s="17"/>
      <c r="B7" s="43"/>
      <c r="C7" s="12"/>
      <c r="D7" s="12" t="s">
        <v>9</v>
      </c>
      <c r="E7" s="12"/>
      <c r="F7" s="12"/>
    </row>
    <row r="8" spans="1:7" s="3" customFormat="1" ht="20.25" customHeight="1">
      <c r="A8" s="12"/>
      <c r="B8" s="44"/>
      <c r="C8" s="15"/>
      <c r="D8" s="12"/>
      <c r="E8" s="14"/>
      <c r="F8" s="12"/>
    </row>
    <row r="9" spans="1:7" s="4" customFormat="1" ht="30" customHeight="1">
      <c r="A9" s="24" t="s">
        <v>10</v>
      </c>
      <c r="B9" s="24" t="s">
        <v>11</v>
      </c>
      <c r="C9" s="18" t="s">
        <v>12</v>
      </c>
      <c r="D9" s="19" t="s">
        <v>13</v>
      </c>
      <c r="E9" s="25" t="s">
        <v>14</v>
      </c>
      <c r="F9" s="26"/>
    </row>
    <row r="10" spans="1:7" s="5" customFormat="1" ht="18.95" customHeight="1">
      <c r="A10" s="27">
        <v>1</v>
      </c>
      <c r="B10" s="28" t="s">
        <v>15</v>
      </c>
      <c r="C10" s="29">
        <v>6800</v>
      </c>
      <c r="D10" s="20">
        <v>3</v>
      </c>
      <c r="E10" s="30">
        <f>D10*C10</f>
        <v>20400</v>
      </c>
      <c r="F10" s="13"/>
    </row>
    <row r="11" spans="1:7" s="6" customFormat="1" ht="15.95" customHeight="1">
      <c r="A11" s="27">
        <v>2</v>
      </c>
      <c r="B11" s="21" t="s">
        <v>16</v>
      </c>
      <c r="C11" s="31"/>
      <c r="D11" s="20"/>
      <c r="E11" s="22">
        <f>SUM(E10:E10)</f>
        <v>20400</v>
      </c>
      <c r="F11" s="13"/>
    </row>
    <row r="12" spans="1:7" ht="24" customHeight="1">
      <c r="A12" s="32"/>
      <c r="B12" s="32"/>
      <c r="C12" s="33"/>
      <c r="D12" s="33"/>
      <c r="E12" s="34"/>
      <c r="F12" s="33"/>
      <c r="G12" s="11"/>
    </row>
    <row r="13" spans="1:7" ht="24" customHeight="1">
      <c r="A13" s="32" t="s">
        <v>17</v>
      </c>
      <c r="B13" s="32"/>
      <c r="C13" s="33"/>
      <c r="D13" s="33"/>
      <c r="E13" s="34"/>
      <c r="F13" s="33"/>
      <c r="G13" s="11"/>
    </row>
    <row r="14" spans="1:7" ht="24" customHeight="1">
      <c r="A14" s="10"/>
      <c r="G14" s="11"/>
    </row>
    <row r="15" spans="1:7">
      <c r="G15" s="11"/>
    </row>
    <row r="16" spans="1:7">
      <c r="G16" s="11"/>
    </row>
  </sheetData>
  <mergeCells count="5">
    <mergeCell ref="A1:F1"/>
    <mergeCell ref="A2:F2"/>
    <mergeCell ref="A3:F3"/>
    <mergeCell ref="B4:F4"/>
    <mergeCell ref="B6:B8"/>
  </mergeCells>
  <pageMargins left="0.32986111111111099" right="0.196527777777778" top="0.3" bottom="0.156944444444444" header="0.42" footer="0.27500000000000002"/>
  <pageSetup paperSize="9" scale="73" fitToHeight="0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/>
  <sheetData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Order List</vt:lpstr>
      <vt:lpstr>Sheet3</vt:lpstr>
      <vt:lpstr>'Order List'!Заголовки_для_печати</vt:lpstr>
    </vt:vector>
  </TitlesOfParts>
  <Company>Owen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</dc:creator>
  <cp:lastModifiedBy>Гордиевская Арина Владимировна</cp:lastModifiedBy>
  <cp:lastPrinted>2025-06-30T12:44:58Z</cp:lastPrinted>
  <dcterms:created xsi:type="dcterms:W3CDTF">2012-10-23T04:19:00Z</dcterms:created>
  <dcterms:modified xsi:type="dcterms:W3CDTF">2025-06-30T12:58:52Z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25BE2B80DD8F23C3B0245968BC161D2F_43</vt:lpwstr>
  </property>
</Properties>
</file>