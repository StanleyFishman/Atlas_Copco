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H:\АвтоКитай\Документы 2025 год\Сборное авто\Сборное авто 62 МНЧ\2318-2531736 ЧКЗ\Отгр от агента\"/>
    </mc:Choice>
  </mc:AlternateContent>
  <xr:revisionPtr revIDLastSave="0" documentId="13_ncr:1_{E03E56F5-90A7-483B-8B10-EA3F98E48AD4}" xr6:coauthVersionLast="47" xr6:coauthVersionMax="47" xr10:uidLastSave="{00000000-0000-0000-0000-000000000000}"/>
  <bookViews>
    <workbookView xWindow="13695" yWindow="0" windowWidth="14130" windowHeight="15480" xr2:uid="{00000000-000D-0000-FFFF-FFFF00000000}"/>
  </bookViews>
  <sheets>
    <sheet name="Order List" sheetId="1" r:id="rId1"/>
    <sheet name="Sheet2" sheetId="2" r:id="rId2"/>
    <sheet name="Sheet3" sheetId="3" r:id="rId3"/>
  </sheets>
  <definedNames>
    <definedName name="_xlnm.Print_Titles" localSheetId="0">'Order List'!$1:9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1" l="1"/>
  <c r="G12" i="1"/>
  <c r="F12" i="1"/>
  <c r="E12" i="1"/>
  <c r="D12" i="1"/>
  <c r="H11" i="1"/>
  <c r="H10" i="1"/>
  <c r="G10" i="1"/>
  <c r="F10" i="1"/>
</calcChain>
</file>

<file path=xl/sharedStrings.xml><?xml version="1.0" encoding="utf-8"?>
<sst xmlns="http://schemas.openxmlformats.org/spreadsheetml/2006/main" count="21" uniqueCount="20">
  <si>
    <t>SHENZHEN WETAC TECHNOLOGY CO.,LTD</t>
  </si>
  <si>
    <t xml:space="preserve">ROOM 106, BLDG 22, XueHong industrial park, , Futian District, 518000 Shenzhen China </t>
  </si>
  <si>
    <t xml:space="preserve">Tel: 86-13530046228        Email: atlastrade@163.com / wetac@188.com  
</t>
  </si>
  <si>
    <t>Packing List</t>
  </si>
  <si>
    <t>TO:</t>
  </si>
  <si>
    <t>Chelyabinsk Compressor Plant LLC</t>
  </si>
  <si>
    <t>P/L No.:</t>
  </si>
  <si>
    <t>PL250618</t>
  </si>
  <si>
    <t>Date:</t>
  </si>
  <si>
    <t xml:space="preserve">Item </t>
  </si>
  <si>
    <t>Model no</t>
  </si>
  <si>
    <t>Description</t>
  </si>
  <si>
    <t>QTY</t>
  </si>
  <si>
    <t>CTN</t>
  </si>
  <si>
    <t>G.W. (KGS)</t>
  </si>
  <si>
    <t>N.W.(KGS)</t>
  </si>
  <si>
    <t>CBM</t>
  </si>
  <si>
    <t>desiccant</t>
  </si>
  <si>
    <t>TOTAL</t>
  </si>
  <si>
    <t>14km of the highway Chelyabinsk-Novosibirsk, Krasnoarmeisky raion 456671, Chelyabinskaya oblast, Russia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</si>
</sst>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_ "/>
  </numFmts>
  <fonts count="16">
    <font>
      <sz val="12"/>
      <name val="宋体"/>
      <charset val="134"/>
    </font>
    <font>
      <sz val="10"/>
      <name val="Calibri"/>
      <charset val="134"/>
    </font>
    <font>
      <b/>
      <sz val="12"/>
      <color indexed="8"/>
      <name val="Calibri"/>
      <charset val="134"/>
    </font>
    <font>
      <sz val="12"/>
      <name val="Calibri"/>
      <charset val="134"/>
    </font>
    <font>
      <sz val="16"/>
      <name val="Calibri"/>
      <charset val="134"/>
    </font>
    <font>
      <sz val="11"/>
      <color theme="1"/>
      <name val="Calibri"/>
      <charset val="134"/>
      <scheme val="minor"/>
    </font>
    <font>
      <sz val="10"/>
      <name val="Arial"/>
      <charset val="134"/>
    </font>
    <font>
      <sz val="10"/>
      <name val="MS Sans Serif"/>
      <charset val="134"/>
    </font>
    <font>
      <sz val="11"/>
      <color indexed="8"/>
      <name val="宋体"/>
      <charset val="134"/>
    </font>
    <font>
      <u/>
      <sz val="12"/>
      <color indexed="12"/>
      <name val="宋体"/>
      <charset val="134"/>
    </font>
    <font>
      <u/>
      <sz val="12"/>
      <color theme="10"/>
      <name val="宋体"/>
      <charset val="134"/>
    </font>
    <font>
      <sz val="12"/>
      <name val="宋体"/>
      <charset val="134"/>
    </font>
    <font>
      <sz val="12"/>
      <name val="Calibri"/>
      <family val="2"/>
      <charset val="204"/>
      <scheme val="minor"/>
    </font>
    <font>
      <b/>
      <sz val="12"/>
      <color indexed="9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theme="0"/>
        <bgColor indexed="26"/>
      </patternFill>
    </fill>
  </fills>
  <borders count="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26">
    <xf numFmtId="0" fontId="0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11" fillId="0" borderId="0">
      <alignment vertical="center"/>
    </xf>
    <xf numFmtId="0" fontId="11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1" fillId="0" borderId="0"/>
    <xf numFmtId="0" fontId="11" fillId="0" borderId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>
      <alignment vertical="center"/>
    </xf>
    <xf numFmtId="0" fontId="6" fillId="0" borderId="0"/>
  </cellStyleXfs>
  <cellXfs count="39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0" borderId="0" xfId="0" applyFont="1" applyAlignment="1"/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NumberFormat="1" applyFont="1" applyAlignment="1">
      <alignment vertical="center"/>
    </xf>
    <xf numFmtId="0" fontId="12" fillId="0" borderId="0" xfId="0" applyFont="1" applyAlignment="1"/>
    <xf numFmtId="0" fontId="12" fillId="0" borderId="0" xfId="0" applyFont="1" applyAlignment="1">
      <alignment horizontal="center"/>
    </xf>
    <xf numFmtId="0" fontId="12" fillId="0" borderId="0" xfId="24" applyFont="1" applyFill="1" applyBorder="1" applyAlignment="1"/>
    <xf numFmtId="0" fontId="12" fillId="0" borderId="0" xfId="0" applyFont="1" applyAlignment="1">
      <alignment horizontal="left"/>
    </xf>
    <xf numFmtId="0" fontId="12" fillId="0" borderId="0" xfId="0" applyFont="1" applyBorder="1" applyAlignment="1">
      <alignment horizontal="center"/>
    </xf>
    <xf numFmtId="0" fontId="12" fillId="0" borderId="0" xfId="24" applyFont="1" applyAlignment="1"/>
    <xf numFmtId="15" fontId="12" fillId="0" borderId="0" xfId="0" applyNumberFormat="1" applyFont="1" applyAlignment="1">
      <alignment horizontal="left"/>
    </xf>
    <xf numFmtId="0" fontId="13" fillId="3" borderId="2" xfId="0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shrinkToFit="1"/>
    </xf>
    <xf numFmtId="0" fontId="14" fillId="0" borderId="2" xfId="0" applyFont="1" applyBorder="1" applyAlignment="1">
      <alignment horizontal="center" vertical="center"/>
    </xf>
    <xf numFmtId="0" fontId="14" fillId="0" borderId="2" xfId="0" applyNumberFormat="1" applyFont="1" applyBorder="1" applyAlignment="1">
      <alignment horizontal="center" vertical="center"/>
    </xf>
    <xf numFmtId="168" fontId="14" fillId="0" borderId="2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4" fillId="0" borderId="0" xfId="0" applyFont="1" applyFill="1" applyBorder="1" applyAlignment="1"/>
    <xf numFmtId="0" fontId="13" fillId="3" borderId="2" xfId="0" applyFont="1" applyFill="1" applyBorder="1" applyAlignment="1">
      <alignment horizontal="center" vertical="center" shrinkToFit="1"/>
    </xf>
    <xf numFmtId="0" fontId="12" fillId="0" borderId="2" xfId="24" applyFont="1" applyFill="1" applyBorder="1" applyAlignment="1">
      <alignment horizontal="center" vertical="center"/>
    </xf>
    <xf numFmtId="0" fontId="12" fillId="0" borderId="2" xfId="24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12" fillId="4" borderId="3" xfId="24" applyNumberFormat="1" applyFont="1" applyFill="1" applyBorder="1" applyAlignment="1">
      <alignment horizontal="center" vertical="center" wrapText="1"/>
    </xf>
    <xf numFmtId="0" fontId="12" fillId="0" borderId="3" xfId="0" applyNumberFormat="1" applyFont="1" applyBorder="1" applyAlignment="1">
      <alignment horizontal="center" vertical="center"/>
    </xf>
    <xf numFmtId="168" fontId="12" fillId="0" borderId="3" xfId="0" applyNumberFormat="1" applyFont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NumberFormat="1" applyFont="1" applyAlignment="1">
      <alignment vertical="center"/>
    </xf>
    <xf numFmtId="0" fontId="14" fillId="0" borderId="0" xfId="0" applyFont="1" applyAlignment="1">
      <alignment horizontal="center"/>
    </xf>
    <xf numFmtId="0" fontId="12" fillId="0" borderId="0" xfId="0" applyFont="1" applyFill="1" applyBorder="1" applyAlignment="1">
      <alignment horizontal="left" vertical="top" wrapText="1"/>
    </xf>
    <xf numFmtId="0" fontId="12" fillId="0" borderId="4" xfId="0" applyFont="1" applyFill="1" applyBorder="1" applyAlignment="1">
      <alignment horizontal="left" vertical="top" wrapText="1"/>
    </xf>
  </cellXfs>
  <cellStyles count="26">
    <cellStyle name="Excel Built-in Normal" xfId="24" xr:uid="{00000000-0005-0000-0000-000048000000}"/>
    <cellStyle name="Обычный" xfId="0" builtinId="0"/>
    <cellStyle name="Обычный 2" xfId="25" xr:uid="{00000000-0005-0000-0000-000049000000}"/>
    <cellStyle name="一般_G-072 Quotation form" xfId="1" xr:uid="{00000000-0005-0000-0000-000031000000}"/>
    <cellStyle name="常规 2" xfId="12" xr:uid="{00000000-0005-0000-0000-00003C000000}"/>
    <cellStyle name="常规 2 2" xfId="11" xr:uid="{00000000-0005-0000-0000-00003B000000}"/>
    <cellStyle name="常规 3" xfId="13" xr:uid="{00000000-0005-0000-0000-00003D000000}"/>
    <cellStyle name="常规 3 2" xfId="9" xr:uid="{00000000-0005-0000-0000-000039000000}"/>
    <cellStyle name="常规 3 3" xfId="10" xr:uid="{00000000-0005-0000-0000-00003A000000}"/>
    <cellStyle name="常规 4" xfId="14" xr:uid="{00000000-0005-0000-0000-00003E000000}"/>
    <cellStyle name="常规 4 2" xfId="15" xr:uid="{00000000-0005-0000-0000-00003F000000}"/>
    <cellStyle name="常规 5" xfId="16" xr:uid="{00000000-0005-0000-0000-000040000000}"/>
    <cellStyle name="常规 5 2" xfId="4" xr:uid="{00000000-0005-0000-0000-000034000000}"/>
    <cellStyle name="常规 6" xfId="2" xr:uid="{00000000-0005-0000-0000-000032000000}"/>
    <cellStyle name="常规 6 2" xfId="5" xr:uid="{00000000-0005-0000-0000-000035000000}"/>
    <cellStyle name="常规 6 2 2" xfId="8" xr:uid="{00000000-0005-0000-0000-000038000000}"/>
    <cellStyle name="常规 6 3" xfId="6" xr:uid="{00000000-0005-0000-0000-000036000000}"/>
    <cellStyle name="常规 6 3 2" xfId="17" xr:uid="{00000000-0005-0000-0000-000041000000}"/>
    <cellStyle name="常规 6 4" xfId="7" xr:uid="{00000000-0005-0000-0000-000037000000}"/>
    <cellStyle name="常规 6 4 2" xfId="18" xr:uid="{00000000-0005-0000-0000-000042000000}"/>
    <cellStyle name="常规 6 5" xfId="3" xr:uid="{00000000-0005-0000-0000-000033000000}"/>
    <cellStyle name="常规 6 6" xfId="19" xr:uid="{00000000-0005-0000-0000-000043000000}"/>
    <cellStyle name="常规 7" xfId="20" xr:uid="{00000000-0005-0000-0000-000044000000}"/>
    <cellStyle name="常规_Sheet1" xfId="21" xr:uid="{00000000-0005-0000-0000-000045000000}"/>
    <cellStyle name="超链接 2" xfId="22" xr:uid="{00000000-0005-0000-0000-000046000000}"/>
    <cellStyle name="超链接 3" xfId="23" xr:uid="{00000000-0005-0000-0000-000047000000}"/>
  </cellStyles>
  <dxfs count="1">
    <dxf>
      <font>
        <b val="0"/>
        <i val="0"/>
        <strike val="0"/>
        <u val="none"/>
        <sz val="10"/>
        <color rgb="FF9C0006"/>
        <family val="2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CC"/>
      <rgbColor rgb="0000CCFF"/>
      <rgbColor rgb="00CCFFFF"/>
      <rgbColor rgb="00CCFFCC"/>
      <rgbColor rgb="00FFFF99"/>
      <rgbColor rgb="0066FF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452438</xdr:colOff>
      <xdr:row>12</xdr:row>
      <xdr:rowOff>154782</xdr:rowOff>
    </xdr:from>
    <xdr:to>
      <xdr:col>7</xdr:col>
      <xdr:colOff>490380</xdr:colOff>
      <xdr:row>16</xdr:row>
      <xdr:rowOff>173197</xdr:rowOff>
    </xdr:to>
    <xdr:pic>
      <xdr:nvPicPr>
        <xdr:cNvPr id="2" name="图片 1" descr="0aae7f63c9b4bcb25cb51f8e915876c">
          <a:extLst>
            <a:ext uri="{FF2B5EF4-FFF2-40B4-BE49-F238E27FC236}">
              <a16:creationId xmlns:a16="http://schemas.microsoft.com/office/drawing/2014/main" id="{8DFF0A75-156B-4F45-82A1-A4617463F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1" y="3536157"/>
          <a:ext cx="2026285" cy="14471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topLeftCell="B1" zoomScaleNormal="100" workbookViewId="0">
      <selection activeCell="D15" sqref="D15"/>
    </sheetView>
  </sheetViews>
  <sheetFormatPr defaultColWidth="9" defaultRowHeight="27.95" customHeight="1"/>
  <cols>
    <col min="1" max="1" width="8.75" style="5" customWidth="1"/>
    <col min="2" max="2" width="26.875" style="6" customWidth="1"/>
    <col min="3" max="3" width="20.375" style="5" customWidth="1"/>
    <col min="4" max="4" width="13" style="5" customWidth="1"/>
    <col min="5" max="5" width="8.875" style="5" customWidth="1"/>
    <col min="6" max="6" width="13" style="7" customWidth="1"/>
    <col min="7" max="7" width="13.125" style="7" customWidth="1"/>
    <col min="8" max="8" width="11" style="5" customWidth="1"/>
    <col min="9" max="16384" width="9" style="5"/>
  </cols>
  <sheetData>
    <row r="1" spans="1:8" s="1" customFormat="1" ht="24" customHeight="1">
      <c r="A1" s="36" t="s">
        <v>0</v>
      </c>
      <c r="B1" s="36"/>
      <c r="C1" s="36"/>
      <c r="D1" s="36"/>
      <c r="E1" s="36"/>
      <c r="F1" s="36"/>
      <c r="G1" s="36"/>
      <c r="H1" s="36"/>
    </row>
    <row r="2" spans="1:8" s="2" customFormat="1" ht="15.95" customHeight="1">
      <c r="A2" s="20" t="s">
        <v>1</v>
      </c>
      <c r="B2" s="20"/>
      <c r="C2" s="20"/>
      <c r="D2" s="20"/>
      <c r="E2" s="20"/>
      <c r="F2" s="20"/>
      <c r="G2" s="20"/>
      <c r="H2" s="20"/>
    </row>
    <row r="3" spans="1:8" s="3" customFormat="1" ht="15.95" customHeight="1">
      <c r="A3" s="21" t="s">
        <v>2</v>
      </c>
      <c r="B3" s="21"/>
      <c r="C3" s="21"/>
      <c r="D3" s="21"/>
      <c r="E3" s="21"/>
      <c r="F3" s="21"/>
      <c r="G3" s="21"/>
      <c r="H3" s="21"/>
    </row>
    <row r="4" spans="1:8" s="3" customFormat="1" ht="27.95" customHeight="1">
      <c r="A4" s="8"/>
      <c r="B4" s="9"/>
      <c r="C4" s="22" t="s">
        <v>3</v>
      </c>
      <c r="D4" s="22"/>
      <c r="E4" s="22"/>
      <c r="F4" s="22"/>
      <c r="G4" s="22"/>
      <c r="H4" s="22"/>
    </row>
    <row r="5" spans="1:8" s="3" customFormat="1" ht="21.95" customHeight="1">
      <c r="A5" s="10" t="s">
        <v>4</v>
      </c>
      <c r="B5" s="23" t="s">
        <v>5</v>
      </c>
      <c r="C5" s="8"/>
      <c r="D5" s="8"/>
      <c r="E5" s="8"/>
      <c r="F5" s="8" t="s">
        <v>6</v>
      </c>
      <c r="G5" s="11" t="s">
        <v>7</v>
      </c>
      <c r="H5" s="12"/>
    </row>
    <row r="6" spans="1:8" s="3" customFormat="1" ht="21.95" customHeight="1">
      <c r="A6" s="13"/>
      <c r="B6" s="37" t="s">
        <v>19</v>
      </c>
      <c r="C6" s="37"/>
      <c r="D6" s="8"/>
      <c r="E6" s="8"/>
      <c r="F6" s="8" t="s">
        <v>8</v>
      </c>
      <c r="G6" s="14">
        <v>45826</v>
      </c>
      <c r="H6" s="12"/>
    </row>
    <row r="7" spans="1:8" s="3" customFormat="1" ht="21.95" customHeight="1">
      <c r="A7" s="13"/>
      <c r="B7" s="37"/>
      <c r="C7" s="37"/>
      <c r="D7" s="8"/>
      <c r="E7" s="8"/>
      <c r="F7" s="11"/>
      <c r="G7" s="11"/>
      <c r="H7" s="12"/>
    </row>
    <row r="8" spans="1:8" s="3" customFormat="1" ht="21.95" customHeight="1">
      <c r="A8" s="8"/>
      <c r="B8" s="38"/>
      <c r="C8" s="38"/>
      <c r="D8" s="8"/>
      <c r="E8" s="8"/>
      <c r="F8" s="8"/>
      <c r="G8" s="8"/>
      <c r="H8" s="12"/>
    </row>
    <row r="9" spans="1:8" s="4" customFormat="1" ht="27.95" customHeight="1">
      <c r="A9" s="24" t="s">
        <v>9</v>
      </c>
      <c r="B9" s="24" t="s">
        <v>10</v>
      </c>
      <c r="C9" s="24" t="s">
        <v>11</v>
      </c>
      <c r="D9" s="15" t="s">
        <v>12</v>
      </c>
      <c r="E9" s="15" t="s">
        <v>13</v>
      </c>
      <c r="F9" s="15" t="s">
        <v>14</v>
      </c>
      <c r="G9" s="15" t="s">
        <v>15</v>
      </c>
      <c r="H9" s="15" t="s">
        <v>16</v>
      </c>
    </row>
    <row r="10" spans="1:8" ht="20.100000000000001" customHeight="1">
      <c r="A10" s="25">
        <v>1</v>
      </c>
      <c r="B10" s="16"/>
      <c r="C10" s="26" t="s">
        <v>17</v>
      </c>
      <c r="D10" s="27">
        <v>6</v>
      </c>
      <c r="E10" s="28">
        <v>6</v>
      </c>
      <c r="F10" s="29">
        <f>1023*E10</f>
        <v>6138</v>
      </c>
      <c r="G10" s="30">
        <f>1000*E10</f>
        <v>6000</v>
      </c>
      <c r="H10" s="31">
        <f>1.2*1.2*1.45*E10</f>
        <v>12.528</v>
      </c>
    </row>
    <row r="11" spans="1:8" ht="20.100000000000001" customHeight="1">
      <c r="A11" s="25">
        <v>2</v>
      </c>
      <c r="B11" s="16"/>
      <c r="C11" s="26" t="s">
        <v>17</v>
      </c>
      <c r="D11" s="27">
        <v>1</v>
      </c>
      <c r="E11" s="28">
        <v>1</v>
      </c>
      <c r="F11" s="29">
        <v>835</v>
      </c>
      <c r="G11" s="30">
        <v>820</v>
      </c>
      <c r="H11" s="31">
        <f>1.2*1.2*1.2</f>
        <v>1.728</v>
      </c>
    </row>
    <row r="12" spans="1:8" ht="27.95" customHeight="1">
      <c r="A12" s="25">
        <v>3</v>
      </c>
      <c r="B12" s="32"/>
      <c r="C12" s="17" t="s">
        <v>18</v>
      </c>
      <c r="D12" s="17">
        <f>SUM(D10:D11)</f>
        <v>7</v>
      </c>
      <c r="E12" s="18">
        <f>SUM(E10:E11)</f>
        <v>7</v>
      </c>
      <c r="F12" s="18">
        <f>SUM(F10:F11)</f>
        <v>6973</v>
      </c>
      <c r="G12" s="18">
        <f>SUM(G10:G11)</f>
        <v>6820</v>
      </c>
      <c r="H12" s="19">
        <f>SUM(H10:H11)</f>
        <v>14.256</v>
      </c>
    </row>
    <row r="13" spans="1:8" ht="27.95" customHeight="1">
      <c r="A13" s="33"/>
      <c r="B13" s="34"/>
      <c r="C13" s="33"/>
      <c r="D13" s="33"/>
      <c r="E13" s="35"/>
      <c r="F13" s="35"/>
      <c r="G13" s="35"/>
      <c r="H13" s="35"/>
    </row>
  </sheetData>
  <mergeCells count="5">
    <mergeCell ref="A1:H1"/>
    <mergeCell ref="A2:H2"/>
    <mergeCell ref="A3:H3"/>
    <mergeCell ref="C4:H4"/>
    <mergeCell ref="B6:C8"/>
  </mergeCells>
  <conditionalFormatting sqref="C10:C11">
    <cfRule type="duplicateValues" dxfId="0" priority="11"/>
  </conditionalFormatting>
  <pageMargins left="0.32986111111111099" right="0.196527777777778" top="0.3" bottom="0.156944444444444" header="0.42" footer="0.27500000000000002"/>
  <pageSetup paperSize="9" scale="70"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25"/>
  <sheetData/>
  <pageMargins left="0.75" right="0.75" top="1" bottom="1" header="0.5" footer="0.5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25"/>
  <sheetData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Order List</vt:lpstr>
      <vt:lpstr>Sheet2</vt:lpstr>
      <vt:lpstr>Sheet3</vt:lpstr>
      <vt:lpstr>'Order List'!Заголовки_для_печати</vt:lpstr>
    </vt:vector>
  </TitlesOfParts>
  <Company>Owen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</dc:creator>
  <cp:lastModifiedBy>Гордиевская Арина Владимировна</cp:lastModifiedBy>
  <cp:lastPrinted>2020-02-29T02:16:00Z</cp:lastPrinted>
  <dcterms:created xsi:type="dcterms:W3CDTF">2012-10-22T12:19:00Z</dcterms:created>
  <dcterms:modified xsi:type="dcterms:W3CDTF">2025-06-30T12:58:46Z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2052-7.3.1.8967</vt:lpwstr>
  </property>
  <property fmtid="{D5CDD505-2E9C-101B-9397-08002B2CF9AE}" pid="3" name="ICV">
    <vt:lpwstr>03AE8CD3F319CA37D26953689D8A590A_43</vt:lpwstr>
  </property>
</Properties>
</file>