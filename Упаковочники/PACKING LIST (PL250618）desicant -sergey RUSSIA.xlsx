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440"/>
  </bookViews>
  <sheets>
    <sheet name="Order List" sheetId="1" r:id="rId1"/>
    <sheet name="Sheet2" sheetId="2" r:id="rId2"/>
    <sheet name="Sheet3" sheetId="3" r:id="rId3"/>
  </sheets>
  <definedNames>
    <definedName name="_xlnm.Print_Titles" localSheetId="0">'Order List'!$1:9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<sst xmlns="http://schemas.openxmlformats.org/spreadsheetml/2006/main" count="20" uniqueCount="19">
  <si>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SHENZHEN WETAC TECHNOLOGY CO.,LTD</t>
  </si>
  <si>
    <t xml:space="preserve">ROOM 106, BLDG 22, XueHong industrial park, , Futian District, 518000 Shenzhen China </t>
  </si>
  <si>
    <t xml:space="preserve">Tel: 86-13530046228        Email: atlastrade@163.com / wetac@188.com  
</t>
  </si>
  <si>
    <t>Packing List</t>
  </si>
  <si>
    <t>TO:</t>
  </si>
  <si>
    <t>Chelyabinsk Compressor Plant LLC</t>
  </si>
  <si>
    <t>P/L No.:</t>
  </si>
  <si>
    <t>PL250618</t>
  </si>
  <si>
    <t>Date:</t>
  </si>
  <si>
    <t xml:space="preserve">Item </t>
  </si>
  <si>
    <t>Model no</t>
  </si>
  <si>
    <t>Description</t>
  </si>
  <si>
    <t>QTY</t>
  </si>
  <si>
    <t>CTN</t>
  </si>
  <si>
    <t>G.W. (KGS)</t>
  </si>
  <si>
    <t>N.W.(KGS)</t>
  </si>
  <si>
    <t>CBM</t>
  </si>
  <si>
    <t>desiccant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</si>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</sst>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2"/>
      <name val="宋体"/>
      <charset val="134"/>
    </font>
    <font>
      <sz val="10"/>
      <name val="Calibri"/>
      <charset val="134"/>
    </font>
    <font>
      <b/>
      <sz val="12"/>
      <color indexed="8"/>
      <name val="Calibri"/>
      <charset val="134"/>
    </font>
    <font>
      <sz val="12"/>
      <name val="Calibri"/>
      <charset val="134"/>
    </font>
    <font>
      <sz val="16"/>
      <name val="Calibri"/>
      <charset val="134"/>
    </font>
    <font>
      <sz val="24"/>
      <name val="Calibri"/>
      <charset val="134"/>
    </font>
    <font>
      <sz val="14"/>
      <name val="Calibri"/>
      <charset val="134"/>
    </font>
    <font>
      <sz val="12"/>
      <name val="Calibri"/>
      <charset val="0"/>
    </font>
    <font>
      <b/>
      <sz val="11"/>
      <name val="Times New Roman"/>
      <charset val="0"/>
    </font>
    <font>
      <sz val="11"/>
      <name val="Times New Roman"/>
      <charset val="0"/>
    </font>
    <font>
      <b/>
      <sz val="16"/>
      <color indexed="9"/>
      <name val="Calibri"/>
      <charset val="134"/>
    </font>
    <font>
      <b/>
      <sz val="12"/>
      <color indexed="9"/>
      <name val="Calibri"/>
      <charset val="134"/>
    </font>
    <font>
      <sz val="11"/>
      <name val="Arial"/>
      <charset val="0"/>
    </font>
    <font>
      <b/>
      <sz val="12"/>
      <name val="Calibri"/>
      <charset val="20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6" fillId="0" borderId="0"/>
  </cellStyleXfs>
  <cellXfs count="3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72" applyFont="1" applyFill="1" applyBorder="1" applyAlignment="1"/>
    <xf numFmtId="0" fontId="8" fillId="0" borderId="0" xfId="0" applyFont="1" applyFill="1" applyBorder="1" applyAlignment="1"/>
    <xf numFmtId="0" fontId="7" fillId="0" borderId="0" xfId="72" applyFont="1" applyAlignment="1"/>
    <xf numFmtId="0" fontId="9" fillId="0" borderId="0" xfId="0" applyFont="1" applyFill="1" applyBorder="1" applyAlignment="1">
      <alignment horizontal="left"/>
    </xf>
    <xf numFmtId="0" fontId="7" fillId="0" borderId="0" xfId="72" applyFont="1" applyAlignment="1">
      <alignment horizontal="left"/>
    </xf>
    <xf numFmtId="0" fontId="10" fillId="3" borderId="2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wrapText="1"/>
    </xf>
    <xf numFmtId="0" fontId="12" fillId="0" borderId="2" xfId="72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shrinkToFit="1"/>
    </xf>
    <xf numFmtId="0" fontId="14" fillId="0" borderId="2" xfId="72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15" fontId="3" fillId="0" borderId="0" xfId="0" applyNumberFormat="1" applyFont="1" applyAlignment="1">
      <alignment horizontal="left"/>
    </xf>
    <xf numFmtId="0" fontId="10" fillId="3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2" fillId="4" borderId="3" xfId="72" applyNumberFormat="1" applyFont="1" applyFill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7" fillId="0" borderId="2" xfId="0" applyNumberFormat="1" applyFon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G-072 Quotation form" xfId="49"/>
    <cellStyle name="常规 6" xfId="50"/>
    <cellStyle name="常规 6 5" xfId="51"/>
    <cellStyle name="常规 5 2" xfId="52"/>
    <cellStyle name="常规 6 2" xfId="53"/>
    <cellStyle name="常规 6 3" xfId="54"/>
    <cellStyle name="常规 6 4" xfId="55"/>
    <cellStyle name="常规 6 2 2" xfId="56"/>
    <cellStyle name="常规 3 2" xfId="57"/>
    <cellStyle name="常规 3 3" xfId="58"/>
    <cellStyle name="常规 2 2" xfId="59"/>
    <cellStyle name="常规 2" xfId="60"/>
    <cellStyle name="常规 3" xfId="61"/>
    <cellStyle name="常规 4" xfId="62"/>
    <cellStyle name="常规 4 2" xfId="63"/>
    <cellStyle name="常规 5" xfId="64"/>
    <cellStyle name="常规 6 3 2" xfId="65"/>
    <cellStyle name="常规 6 4 2" xfId="66"/>
    <cellStyle name="常规 6 6" xfId="67"/>
    <cellStyle name="常规 7" xfId="68"/>
    <cellStyle name="常规_Sheet1" xfId="69"/>
    <cellStyle name="超链接 2" xfId="70"/>
    <cellStyle name="超链接 3" xfId="71"/>
    <cellStyle name="Excel Built-in Normal" xfId="72"/>
    <cellStyle name="Обычный 2" xfId="73"/>
  </cellStyles>
  <dxfs count="1">
    <dxf>
      <font>
        <family val="2"/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CC"/>
      <rgbColor rgb="0000CCFF"/>
      <rgbColor rgb="00CCFFFF"/>
      <rgbColor rgb="00CCFFCC"/>
      <rgbColor rgb="00FFFF99"/>
      <rgbColor rgb="0066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C13" sqref="C13"/>
    </sheetView>
  </sheetViews>
  <sheetFormatPr defaultColWidth="9" defaultRowHeight="28" customHeight="1" outlineLevelCol="7"/>
  <cols>
    <col min="1" max="1" width="8.69642857142857" style="5" customWidth="1"/>
    <col min="2" max="2" width="26.9285714285714" style="6" customWidth="1"/>
    <col min="3" max="3" width="20.3839285714286" style="5" customWidth="1"/>
    <col min="4" max="4" width="13" style="5" customWidth="1"/>
    <col min="5" max="5" width="8.90178571428571" style="5" customWidth="1"/>
    <col min="6" max="6" width="12.9464285714286" style="7" customWidth="1"/>
    <col min="7" max="7" width="13.0892857142857" style="7" customWidth="1"/>
    <col min="8" max="8" width="11" style="5" customWidth="1"/>
    <col min="9" max="16384" width="9" style="5"/>
  </cols>
  <sheetData>
    <row r="1" s="1" customFormat="1" ht="24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2" s="2" customFormat="1" ht="16" customHeight="1" spans="1:8">
      <c r="A2" s="9" t="s">
        <v>1</v>
      </c>
      <c r="B2" s="9"/>
      <c r="C2" s="9"/>
      <c r="D2" s="9"/>
      <c r="E2" s="9"/>
      <c r="F2" s="9"/>
      <c r="G2" s="9"/>
      <c r="H2" s="9"/>
    </row>
    <row r="3" s="3" customFormat="1" ht="16" customHeight="1" spans="1:8">
      <c r="A3" s="10" t="s">
        <v>2</v>
      </c>
      <c r="B3" s="10"/>
      <c r="C3" s="10"/>
      <c r="D3" s="10"/>
      <c r="E3" s="10"/>
      <c r="F3" s="10"/>
      <c r="G3" s="10"/>
      <c r="H3" s="10"/>
    </row>
    <row r="4" s="3" customFormat="1" customHeight="1" spans="2:8">
      <c r="B4" s="11"/>
      <c r="C4" s="12" t="s">
        <v>3</v>
      </c>
      <c r="D4" s="12"/>
      <c r="E4" s="12"/>
      <c r="F4" s="12"/>
      <c r="G4" s="12"/>
      <c r="H4" s="12"/>
    </row>
    <row r="5" s="3" customFormat="1" ht="22" customHeight="1" spans="1:8">
      <c r="A5" s="13" t="s">
        <v>4</v>
      </c>
      <c r="B5" s="14" t="s">
        <v>5</v>
      </c>
      <c r="F5" s="3" t="s">
        <v>6</v>
      </c>
      <c r="G5" s="26" t="s">
        <v>7</v>
      </c>
      <c r="H5" s="27"/>
    </row>
    <row r="6" s="3" customFormat="1" ht="22" customHeight="1" spans="1:8">
      <c r="A6" s="15"/>
      <c r="B6" s="16"/>
      <c r="F6" s="3" t="s">
        <v>8</v>
      </c>
      <c r="G6" s="28">
        <v>45826</v>
      </c>
      <c r="H6" s="27"/>
    </row>
    <row r="7" s="3" customFormat="1" ht="22" customHeight="1" spans="1:8">
      <c r="A7" s="15"/>
      <c r="B7" s="17"/>
      <c r="F7" s="26"/>
      <c r="G7" s="26"/>
      <c r="H7" s="27"/>
    </row>
    <row r="8" s="3" customFormat="1" ht="22" customHeight="1" spans="2:8">
      <c r="B8" s="11"/>
      <c r="H8" s="27"/>
    </row>
    <row r="9" s="4" customFormat="1" customHeight="1" spans="1:8">
      <c r="A9" s="18" t="s">
        <v>9</v>
      </c>
      <c r="B9" s="18" t="s">
        <v>10</v>
      </c>
      <c r="C9" s="18" t="s">
        <v>11</v>
      </c>
      <c r="D9" s="19" t="s">
        <v>12</v>
      </c>
      <c r="E9" s="19" t="s">
        <v>13</v>
      </c>
      <c r="F9" s="19" t="s">
        <v>14</v>
      </c>
      <c r="G9" s="19" t="s">
        <v>15</v>
      </c>
      <c r="H9" s="29" t="s">
        <v>16</v>
      </c>
    </row>
    <row r="10" s="5" customFormat="1" ht="20" customHeight="1" spans="1:8">
      <c r="A10" s="20">
        <v>1</v>
      </c>
      <c r="B10" s="21"/>
      <c r="C10" s="22" t="s">
        <v>17</v>
      </c>
      <c r="D10" s="23">
        <v>6</v>
      </c>
      <c r="E10" s="30">
        <v>6</v>
      </c>
      <c r="F10" s="31">
        <f>1023*E10</f>
        <v>6138</v>
      </c>
      <c r="G10" s="32">
        <f>1000*E10</f>
        <v>6000</v>
      </c>
      <c r="H10" s="33">
        <f>1.2*1.2*1.45*E10</f>
        <v>12.528</v>
      </c>
    </row>
    <row r="11" s="5" customFormat="1" ht="20" customHeight="1" spans="1:8">
      <c r="A11" s="20">
        <v>2</v>
      </c>
      <c r="B11" s="21"/>
      <c r="C11" s="22" t="s">
        <v>17</v>
      </c>
      <c r="D11" s="23">
        <v>1</v>
      </c>
      <c r="E11" s="30">
        <v>1</v>
      </c>
      <c r="F11" s="31">
        <v>835</v>
      </c>
      <c r="G11" s="32">
        <v>800</v>
      </c>
      <c r="H11" s="33">
        <f>1.2*1.2*1.2</f>
        <v>1.728</v>
      </c>
    </row>
    <row r="12" customHeight="1" spans="1:8">
      <c r="A12" s="20">
        <v>3</v>
      </c>
      <c r="B12" s="24"/>
      <c r="C12" s="25" t="s">
        <v>18</v>
      </c>
      <c r="D12" s="25">
        <f>SUM(D10:D11)</f>
        <v>7</v>
      </c>
      <c r="E12" s="34">
        <f>SUM(E10:E11)</f>
        <v>7</v>
      </c>
      <c r="F12" s="34">
        <f>SUM(F10:F11)</f>
        <v>6973</v>
      </c>
      <c r="G12" s="34">
        <f>SUM(G10:G11)</f>
        <v>6800</v>
      </c>
      <c r="H12" s="35">
        <f>SUM(H10:H11)</f>
        <v>14.256</v>
      </c>
    </row>
    <row r="13" customHeight="1" spans="5:8">
      <c r="E13" s="7"/>
      <c r="H13" s="7"/>
    </row>
  </sheetData>
  <mergeCells count="4">
    <mergeCell ref="A1:H1"/>
    <mergeCell ref="A2:H2"/>
    <mergeCell ref="A3:H3"/>
    <mergeCell ref="C4:H4"/>
  </mergeCells>
  <conditionalFormatting sqref="C10:C11">
    <cfRule type="duplicateValues" dxfId="0" priority="11"/>
  </conditionalFormatting>
  <pageMargins left="0.329861111111111" right="0.196527777777778" top="0.3" bottom="0.156944444444444" header="0.42" footer="0.275"/>
  <pageSetup paperSize="9" scale="70"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Owen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 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Cici</cp:lastModifiedBy>
  <dcterms:created xsi:type="dcterms:W3CDTF">2012-10-23T04:19:00Z</dcterms:created>
  <cp:lastPrinted>2020-02-29T18:16:00Z</cp:lastPrinted>
  <dcterms:modified xsi:type="dcterms:W3CDTF">2025-06-23T15:07:06Z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03AE8CD3F319CA37D26953689D8A590A_43</vt:lpwstr>
  </property>
</Properties>
</file>